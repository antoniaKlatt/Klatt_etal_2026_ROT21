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att0000\Desktop\Basel AG Ladd\PhD project\PhD thesis\Chapter 3 ROT21\C3_Rscripts\R_markdown\Ch3_data_forR\"/>
    </mc:Choice>
  </mc:AlternateContent>
  <xr:revisionPtr revIDLastSave="0" documentId="13_ncr:1_{329D50E8-901A-443B-9163-2AFF0A6E8101}" xr6:coauthVersionLast="47" xr6:coauthVersionMax="47" xr10:uidLastSave="{00000000-0000-0000-0000-000000000000}"/>
  <bookViews>
    <workbookView xWindow="-110" yWindow="-110" windowWidth="19420" windowHeight="11500" activeTab="1" xr2:uid="{D45EA097-25D3-8146-A440-15D177331A5A}"/>
  </bookViews>
  <sheets>
    <sheet name="pig_area" sheetId="1" r:id="rId1"/>
    <sheet name="pig_pr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" i="1" l="1"/>
  <c r="O23" i="1"/>
  <c r="O22" i="1"/>
  <c r="O21" i="1"/>
  <c r="O20" i="1"/>
  <c r="O19" i="1"/>
  <c r="O18" i="1"/>
  <c r="O17" i="1"/>
  <c r="O16" i="1"/>
  <c r="O15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Fatemeh Ajallooeian</author>
  </authors>
  <commentList>
    <comment ref="J1" authorId="0" shapeId="0" xr:uid="{1308416B-5F69-014F-8A27-85331321B3AE}">
      <text>
        <r>
          <rPr>
            <b/>
            <sz val="9"/>
            <color rgb="FF000000"/>
            <rFont val="Tahoma"/>
            <family val="2"/>
          </rPr>
          <t xml:space="preserve">Fatemeh Ajallooeian
</t>
        </r>
        <r>
          <rPr>
            <b/>
            <sz val="9"/>
            <color rgb="FF000000"/>
            <rFont val="Tahoma"/>
            <family val="2"/>
          </rPr>
          <t xml:space="preserve">coming together as 3 peaks (see attached) with exact bandwidth of 445 and 474 and retention time of 20.80''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Fatemeh Ajallooeian</author>
  </authors>
  <commentList>
    <comment ref="A9" authorId="0" shapeId="0" xr:uid="{34F3550B-071D-7549-B616-9BFA9A560E27}">
      <text>
        <r>
          <rPr>
            <b/>
            <sz val="9"/>
            <color rgb="FF000000"/>
            <rFont val="Tahoma"/>
            <family val="2"/>
          </rPr>
          <t xml:space="preserve">Fatemeh Ajallooeian
</t>
        </r>
        <r>
          <rPr>
            <b/>
            <sz val="9"/>
            <color rgb="FF000000"/>
            <rFont val="Tahoma"/>
            <family val="2"/>
          </rPr>
          <t xml:space="preserve">coming together as 3 peaks (see attached) with exact bandwidth of 445 and 474 and retention time of 20.80''
</t>
        </r>
      </text>
    </comment>
  </commentList>
</comments>
</file>

<file path=xl/sharedStrings.xml><?xml version="1.0" encoding="utf-8"?>
<sst xmlns="http://schemas.openxmlformats.org/spreadsheetml/2006/main" count="64" uniqueCount="43">
  <si>
    <t>Diatoxanthin</t>
  </si>
  <si>
    <t>Lutein</t>
  </si>
  <si>
    <t>TChl</t>
  </si>
  <si>
    <t>ID</t>
  </si>
  <si>
    <t>pigment</t>
  </si>
  <si>
    <t>producer</t>
  </si>
  <si>
    <t>alternative</t>
  </si>
  <si>
    <t>a_Carotene</t>
  </si>
  <si>
    <t>Green algae</t>
  </si>
  <si>
    <t>bb_Car</t>
  </si>
  <si>
    <t>bb_Carotene</t>
  </si>
  <si>
    <t>Fuco</t>
  </si>
  <si>
    <t>Fucoxanthin</t>
  </si>
  <si>
    <t>Silicifiers</t>
  </si>
  <si>
    <t>Diatoms, Chysophytes</t>
  </si>
  <si>
    <t>Diatoms, Dinoflagellate, Euglena</t>
  </si>
  <si>
    <t>Allo</t>
  </si>
  <si>
    <t>Alloxantin</t>
  </si>
  <si>
    <t>Cryptophytes</t>
  </si>
  <si>
    <t>Lute</t>
  </si>
  <si>
    <t>Red algae</t>
  </si>
  <si>
    <t>Cyanobacteria</t>
  </si>
  <si>
    <t>Green algae, Diatoms</t>
  </si>
  <si>
    <t>Zeax</t>
  </si>
  <si>
    <t>Zeaxantin</t>
  </si>
  <si>
    <t>Red algae, Green algae, Euglena, Chrysophytes, Brown algae</t>
  </si>
  <si>
    <t>Canta</t>
  </si>
  <si>
    <t>Canthaxanthin</t>
  </si>
  <si>
    <t xml:space="preserve">Green algae, Diatoms, Euglena, </t>
  </si>
  <si>
    <t>Myxoxantophyll</t>
  </si>
  <si>
    <t>Myxo</t>
  </si>
  <si>
    <t>Monadoxanthin</t>
  </si>
  <si>
    <t>Mona</t>
  </si>
  <si>
    <t>Carx</t>
  </si>
  <si>
    <t>Carxx</t>
  </si>
  <si>
    <t>Alfa-car</t>
  </si>
  <si>
    <t>Echinenone</t>
  </si>
  <si>
    <t>Echi</t>
  </si>
  <si>
    <t>Chlorophylls</t>
  </si>
  <si>
    <t>algal productivtiy</t>
  </si>
  <si>
    <t>age_BP_1950</t>
  </si>
  <si>
    <t>XRF_composite_depth</t>
  </si>
  <si>
    <t>mysterious Carotenoids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</si>
</sst>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3744-BB6E-AE42-B8F4-B65DF2187D07}">
  <dimension ref="A1:O24"/>
  <sheetViews>
    <sheetView workbookViewId="0">
      <selection activeCell="A7" sqref="A7"/>
    </sheetView>
  </sheetViews>
  <sheetFormatPr defaultColWidth="10.6640625" defaultRowHeight="16" x14ac:dyDescent="0.4"/>
  <cols>
    <col min="1" max="1" width="14" bestFit="1" customWidth="1"/>
    <col min="2" max="2" width="8"/>
    <col min="3" max="3" width="11.1640625" bestFit="1" customWidth="1"/>
    <col min="14" max="14" width="13.33203125" bestFit="1" customWidth="1"/>
    <col min="15" max="15" width="28.1640625" bestFit="1" customWidth="1"/>
  </cols>
  <sheetData>
    <row r="1" spans="1:15" s="1" customFormat="1" x14ac:dyDescent="0.4">
      <c r="A1" s="1" t="s">
        <v>41</v>
      </c>
      <c r="B1" s="1" t="s">
        <v>40</v>
      </c>
      <c r="C1" s="1" t="s">
        <v>11</v>
      </c>
      <c r="D1" s="1" t="s">
        <v>16</v>
      </c>
      <c r="E1" s="1" t="s">
        <v>30</v>
      </c>
      <c r="F1" s="1" t="s">
        <v>0</v>
      </c>
      <c r="G1" s="1" t="s">
        <v>23</v>
      </c>
      <c r="H1" s="1" t="s">
        <v>19</v>
      </c>
      <c r="I1" s="1" t="s">
        <v>31</v>
      </c>
      <c r="J1" s="1" t="s">
        <v>33</v>
      </c>
      <c r="K1" s="1" t="s">
        <v>35</v>
      </c>
      <c r="L1" s="1" t="s">
        <v>37</v>
      </c>
      <c r="M1" s="1" t="s">
        <v>26</v>
      </c>
      <c r="N1" s="1" t="s">
        <v>9</v>
      </c>
      <c r="O1" s="1" t="s">
        <v>2</v>
      </c>
    </row>
    <row r="2" spans="1:15" x14ac:dyDescent="0.4">
      <c r="A2">
        <v>149.80000000000001</v>
      </c>
      <c r="B2">
        <v>1503.2650000000001</v>
      </c>
      <c r="C2">
        <v>0</v>
      </c>
      <c r="D2">
        <v>478.2</v>
      </c>
      <c r="E2">
        <v>0</v>
      </c>
      <c r="F2">
        <v>533.29999999999995</v>
      </c>
      <c r="G2">
        <v>611.4</v>
      </c>
      <c r="H2">
        <v>602.29999999999995</v>
      </c>
      <c r="I2">
        <v>0</v>
      </c>
      <c r="L2">
        <v>0</v>
      </c>
      <c r="M2">
        <v>78.8</v>
      </c>
      <c r="N2">
        <v>136.69999999999999</v>
      </c>
      <c r="O2">
        <f>42.6+198.4+176.9+223.1+229.3+36.78</f>
        <v>907.07999999999993</v>
      </c>
    </row>
    <row r="3" spans="1:15" x14ac:dyDescent="0.4">
      <c r="A3">
        <v>159.80000000000001</v>
      </c>
      <c r="B3">
        <v>1519.471</v>
      </c>
      <c r="C3">
        <v>0</v>
      </c>
      <c r="D3">
        <v>200.41</v>
      </c>
      <c r="E3">
        <v>0</v>
      </c>
      <c r="F3">
        <v>212.6</v>
      </c>
      <c r="G3">
        <v>1343.4</v>
      </c>
      <c r="H3">
        <v>1011.32</v>
      </c>
      <c r="I3">
        <v>0</v>
      </c>
      <c r="L3">
        <v>0</v>
      </c>
      <c r="N3">
        <v>210.56</v>
      </c>
      <c r="O3">
        <f>78.42+489.2+317.61+113.45+78.9</f>
        <v>1077.5800000000002</v>
      </c>
    </row>
    <row r="4" spans="1:15" x14ac:dyDescent="0.4">
      <c r="A4">
        <v>189.8</v>
      </c>
      <c r="B4">
        <v>2300.5279999999998</v>
      </c>
      <c r="C4">
        <v>0</v>
      </c>
      <c r="D4">
        <v>327.10000000000002</v>
      </c>
      <c r="E4">
        <v>0</v>
      </c>
      <c r="F4">
        <v>352.7</v>
      </c>
      <c r="G4">
        <v>987.3</v>
      </c>
      <c r="H4">
        <v>776.5</v>
      </c>
      <c r="I4">
        <v>0</v>
      </c>
      <c r="L4">
        <v>0</v>
      </c>
      <c r="N4">
        <v>150.6</v>
      </c>
      <c r="O4">
        <f>13.65+55.57+230.98+341.77+220.92+50.5</f>
        <v>913.39</v>
      </c>
    </row>
    <row r="5" spans="1:15" x14ac:dyDescent="0.4">
      <c r="A5">
        <v>264.2</v>
      </c>
      <c r="B5">
        <v>3521.748</v>
      </c>
      <c r="C5">
        <v>0</v>
      </c>
      <c r="D5">
        <v>342.6</v>
      </c>
      <c r="E5">
        <v>0</v>
      </c>
      <c r="F5">
        <v>368.4</v>
      </c>
      <c r="G5">
        <v>1001.8</v>
      </c>
      <c r="H5">
        <v>791.1</v>
      </c>
      <c r="I5">
        <v>0</v>
      </c>
      <c r="L5">
        <v>228.7</v>
      </c>
      <c r="N5">
        <v>90.2</v>
      </c>
      <c r="O5">
        <f>173.12+330.06+131.63+74.5+41.72</f>
        <v>751.03</v>
      </c>
    </row>
    <row r="6" spans="1:15" x14ac:dyDescent="0.4">
      <c r="A6">
        <v>276.89999999999998</v>
      </c>
      <c r="B6">
        <v>3620.1759999999999</v>
      </c>
      <c r="C6">
        <v>0</v>
      </c>
      <c r="D6">
        <v>354.4</v>
      </c>
      <c r="E6">
        <v>0</v>
      </c>
      <c r="F6">
        <v>454.6</v>
      </c>
      <c r="G6">
        <v>1177.9000000000001</v>
      </c>
      <c r="H6">
        <v>917</v>
      </c>
      <c r="I6">
        <v>0</v>
      </c>
      <c r="L6">
        <v>1057</v>
      </c>
      <c r="N6">
        <v>102.4</v>
      </c>
      <c r="O6">
        <f>80.45+470.49+445.53+235.98+108.63</f>
        <v>1341.08</v>
      </c>
    </row>
    <row r="7" spans="1:15" x14ac:dyDescent="0.4">
      <c r="A7">
        <v>289.7</v>
      </c>
      <c r="B7">
        <v>3717.8339999999998</v>
      </c>
      <c r="C7">
        <v>0</v>
      </c>
      <c r="D7">
        <v>529.29999999999995</v>
      </c>
      <c r="E7">
        <v>0</v>
      </c>
      <c r="F7">
        <v>582</v>
      </c>
      <c r="G7">
        <v>1882.7</v>
      </c>
      <c r="H7">
        <v>1426.8</v>
      </c>
      <c r="I7">
        <v>0</v>
      </c>
      <c r="L7">
        <v>1699</v>
      </c>
      <c r="N7">
        <v>217.1</v>
      </c>
      <c r="O7">
        <f>78.07+118.8+591.71+664.91+318.4+161.21</f>
        <v>1933.1</v>
      </c>
    </row>
    <row r="8" spans="1:15" x14ac:dyDescent="0.4">
      <c r="A8">
        <v>306.2</v>
      </c>
      <c r="B8">
        <v>4076.4760000000001</v>
      </c>
      <c r="C8">
        <v>0</v>
      </c>
      <c r="D8">
        <v>689.7</v>
      </c>
      <c r="E8">
        <v>0</v>
      </c>
      <c r="F8">
        <v>766.5</v>
      </c>
      <c r="G8">
        <v>2170.6</v>
      </c>
      <c r="H8">
        <v>1452.4</v>
      </c>
      <c r="I8">
        <v>0</v>
      </c>
      <c r="L8">
        <v>689.5</v>
      </c>
      <c r="N8">
        <v>257.3</v>
      </c>
      <c r="O8">
        <f>73.6+134.61+469.35+496.55+313.87+154.94</f>
        <v>1642.92</v>
      </c>
    </row>
    <row r="9" spans="1:15" x14ac:dyDescent="0.4">
      <c r="A9">
        <v>343.8</v>
      </c>
      <c r="B9">
        <v>4286.5640000000003</v>
      </c>
      <c r="C9">
        <v>0</v>
      </c>
      <c r="D9">
        <v>980.23</v>
      </c>
      <c r="E9">
        <v>0</v>
      </c>
      <c r="F9">
        <v>1156.5</v>
      </c>
      <c r="G9">
        <v>2662.6</v>
      </c>
      <c r="H9">
        <v>1788.4</v>
      </c>
      <c r="I9">
        <v>0</v>
      </c>
      <c r="L9">
        <v>766.2</v>
      </c>
      <c r="N9">
        <v>212.6</v>
      </c>
      <c r="O9">
        <f>112.42+182.77+273.08+921.36+383.41+224.04</f>
        <v>2097.0800000000004</v>
      </c>
    </row>
    <row r="10" spans="1:15" x14ac:dyDescent="0.4">
      <c r="A10">
        <v>363.8</v>
      </c>
      <c r="B10">
        <v>4601.3649999999998</v>
      </c>
      <c r="C10">
        <v>0</v>
      </c>
      <c r="D10">
        <v>452.9</v>
      </c>
      <c r="E10">
        <v>0</v>
      </c>
      <c r="F10">
        <v>495.5</v>
      </c>
      <c r="G10">
        <v>1052.5999999999999</v>
      </c>
      <c r="H10">
        <v>817.3</v>
      </c>
      <c r="I10">
        <v>0</v>
      </c>
      <c r="L10">
        <v>778.6</v>
      </c>
      <c r="N10">
        <v>80.599999999999994</v>
      </c>
      <c r="O10">
        <f>49.18+74.23+163.37+328.69+159.83+113.56</f>
        <v>888.86000000000013</v>
      </c>
    </row>
    <row r="11" spans="1:15" x14ac:dyDescent="0.4">
      <c r="A11">
        <v>721.4</v>
      </c>
      <c r="B11">
        <v>9149.82</v>
      </c>
      <c r="C11">
        <v>0</v>
      </c>
      <c r="D11">
        <v>0</v>
      </c>
      <c r="E11">
        <v>350.1</v>
      </c>
      <c r="F11">
        <v>0</v>
      </c>
      <c r="G11">
        <v>98.5</v>
      </c>
      <c r="H11">
        <v>101.2</v>
      </c>
      <c r="I11">
        <v>631.70000000000005</v>
      </c>
      <c r="L11">
        <v>0</v>
      </c>
      <c r="M11">
        <v>228.9</v>
      </c>
      <c r="N11">
        <v>0</v>
      </c>
      <c r="O11">
        <f>37.39+282.83+46.1+48.35+183.95</f>
        <v>598.62</v>
      </c>
    </row>
    <row r="12" spans="1:15" x14ac:dyDescent="0.4">
      <c r="A12">
        <v>736.3</v>
      </c>
      <c r="B12">
        <v>9263.3850000000002</v>
      </c>
      <c r="C12">
        <v>194.7</v>
      </c>
      <c r="D12">
        <v>0</v>
      </c>
      <c r="E12">
        <v>317.3</v>
      </c>
      <c r="F12">
        <v>0</v>
      </c>
      <c r="G12">
        <v>65.5</v>
      </c>
      <c r="H12">
        <v>98.4</v>
      </c>
      <c r="I12">
        <v>485.7</v>
      </c>
      <c r="L12">
        <v>0</v>
      </c>
      <c r="M12">
        <v>268</v>
      </c>
      <c r="N12">
        <v>95.5</v>
      </c>
      <c r="O12">
        <f>24.49+296.07+39.21+34.94</f>
        <v>394.71</v>
      </c>
    </row>
    <row r="13" spans="1:15" x14ac:dyDescent="0.4">
      <c r="A13">
        <v>745.7</v>
      </c>
      <c r="B13">
        <v>9323.9689999999991</v>
      </c>
      <c r="C13">
        <v>0</v>
      </c>
      <c r="D13">
        <v>210.5</v>
      </c>
      <c r="E13">
        <v>0</v>
      </c>
      <c r="F13">
        <v>191</v>
      </c>
      <c r="G13">
        <v>828.7</v>
      </c>
      <c r="H13">
        <v>502.9</v>
      </c>
      <c r="I13">
        <v>165.6</v>
      </c>
      <c r="L13">
        <v>0</v>
      </c>
      <c r="N13">
        <v>282.8</v>
      </c>
      <c r="O13">
        <f>479.96+40.87+173.25+328.12+156.95</f>
        <v>1179.1499999999999</v>
      </c>
    </row>
    <row r="14" spans="1:15" x14ac:dyDescent="0.4">
      <c r="A14">
        <v>755.7</v>
      </c>
      <c r="B14">
        <v>9392.9110000000001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201.1</v>
      </c>
      <c r="L14">
        <v>0</v>
      </c>
      <c r="N14">
        <v>0</v>
      </c>
    </row>
    <row r="15" spans="1:15" x14ac:dyDescent="0.4">
      <c r="A15">
        <v>861.8</v>
      </c>
      <c r="B15">
        <v>10859.239</v>
      </c>
      <c r="C15">
        <v>0</v>
      </c>
      <c r="D15">
        <v>98.4</v>
      </c>
      <c r="E15">
        <v>0</v>
      </c>
      <c r="F15">
        <v>111.3</v>
      </c>
      <c r="G15">
        <v>346.1</v>
      </c>
      <c r="H15">
        <v>224.1</v>
      </c>
      <c r="I15">
        <v>0</v>
      </c>
      <c r="J15">
        <v>251.3</v>
      </c>
      <c r="L15">
        <v>179.5</v>
      </c>
      <c r="N15">
        <v>73.400000000000006</v>
      </c>
      <c r="O15">
        <f>285.18+150.12+71.28</f>
        <v>506.58000000000004</v>
      </c>
    </row>
    <row r="16" spans="1:15" x14ac:dyDescent="0.4">
      <c r="A16">
        <v>871.8</v>
      </c>
      <c r="B16">
        <v>10937.987999999999</v>
      </c>
      <c r="C16">
        <v>0</v>
      </c>
      <c r="D16">
        <v>140.22999999999999</v>
      </c>
      <c r="E16">
        <v>0</v>
      </c>
      <c r="F16">
        <v>219.4</v>
      </c>
      <c r="G16">
        <v>778.5</v>
      </c>
      <c r="H16">
        <v>519.6</v>
      </c>
      <c r="I16">
        <v>0</v>
      </c>
      <c r="J16">
        <v>518.20000000000005</v>
      </c>
      <c r="L16">
        <v>222.4</v>
      </c>
      <c r="N16">
        <v>0</v>
      </c>
      <c r="O16">
        <f>328.91+239.99+59.2+132.41+377.85+177.01</f>
        <v>1315.3700000000001</v>
      </c>
    </row>
    <row r="17" spans="1:15" x14ac:dyDescent="0.4">
      <c r="A17">
        <v>882.8</v>
      </c>
      <c r="B17">
        <v>10992.017</v>
      </c>
      <c r="C17">
        <v>0</v>
      </c>
      <c r="D17">
        <v>390.4</v>
      </c>
      <c r="E17">
        <v>0</v>
      </c>
      <c r="F17">
        <v>150.19999999999999</v>
      </c>
      <c r="G17">
        <v>319.3</v>
      </c>
      <c r="H17">
        <v>176.2</v>
      </c>
      <c r="I17">
        <v>0</v>
      </c>
      <c r="J17">
        <v>206.6</v>
      </c>
      <c r="L17">
        <v>143.19999999999999</v>
      </c>
      <c r="N17">
        <v>132.80000000000001</v>
      </c>
      <c r="O17">
        <f>149.61+37.92+161.76+88.78</f>
        <v>438.07000000000005</v>
      </c>
    </row>
    <row r="18" spans="1:15" x14ac:dyDescent="0.4">
      <c r="A18">
        <v>892.8</v>
      </c>
      <c r="B18">
        <v>11109.797</v>
      </c>
      <c r="C18">
        <v>0</v>
      </c>
      <c r="D18">
        <v>115.3</v>
      </c>
      <c r="E18">
        <v>0</v>
      </c>
      <c r="F18">
        <v>106.9</v>
      </c>
      <c r="G18">
        <v>145</v>
      </c>
      <c r="H18">
        <v>255.5</v>
      </c>
      <c r="I18">
        <v>349.5</v>
      </c>
      <c r="L18">
        <v>0</v>
      </c>
      <c r="M18">
        <v>178.3</v>
      </c>
      <c r="N18">
        <v>98.7</v>
      </c>
      <c r="O18">
        <f>57.56+39+250.28+31.9+28.54+16.21+86.02</f>
        <v>509.51</v>
      </c>
    </row>
    <row r="19" spans="1:15" x14ac:dyDescent="0.4">
      <c r="A19">
        <v>902.8</v>
      </c>
      <c r="B19">
        <v>11216.326999999999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N19">
        <v>0</v>
      </c>
      <c r="O19">
        <f>35.49+12.05</f>
        <v>47.540000000000006</v>
      </c>
    </row>
    <row r="20" spans="1:15" x14ac:dyDescent="0.4">
      <c r="A20">
        <v>953.3</v>
      </c>
      <c r="B20">
        <v>11826.666999999999</v>
      </c>
      <c r="C20">
        <v>0</v>
      </c>
      <c r="D20">
        <v>0</v>
      </c>
      <c r="E20">
        <v>0</v>
      </c>
      <c r="F20">
        <v>0</v>
      </c>
      <c r="G20">
        <v>531.5</v>
      </c>
      <c r="H20">
        <v>433.5</v>
      </c>
      <c r="I20">
        <v>0</v>
      </c>
      <c r="L20">
        <v>0</v>
      </c>
      <c r="N20">
        <v>112.3</v>
      </c>
      <c r="O20">
        <f>130.54+87.66</f>
        <v>218.2</v>
      </c>
    </row>
    <row r="21" spans="1:15" x14ac:dyDescent="0.4">
      <c r="A21">
        <v>966.8</v>
      </c>
      <c r="B21">
        <v>12113.105</v>
      </c>
      <c r="C21">
        <v>0</v>
      </c>
      <c r="D21">
        <v>456.3</v>
      </c>
      <c r="E21">
        <v>0</v>
      </c>
      <c r="F21">
        <v>970.4</v>
      </c>
      <c r="G21">
        <v>674.3</v>
      </c>
      <c r="H21">
        <v>381</v>
      </c>
      <c r="I21">
        <v>0</v>
      </c>
      <c r="K21">
        <v>1058.5999999999999</v>
      </c>
      <c r="L21">
        <v>0</v>
      </c>
      <c r="N21">
        <v>362.7</v>
      </c>
      <c r="O21">
        <f>210.48+335.1+354.08+66.08+115.1+146.15+117.11+162.75+175.5+663.98+89.46+62.4+94.75+420.76+87.88</f>
        <v>3101.58</v>
      </c>
    </row>
    <row r="22" spans="1:15" x14ac:dyDescent="0.4">
      <c r="A22">
        <v>976.8</v>
      </c>
      <c r="B22">
        <v>12247.199000000001</v>
      </c>
      <c r="C22">
        <v>0</v>
      </c>
      <c r="D22">
        <v>0</v>
      </c>
      <c r="E22">
        <v>0</v>
      </c>
      <c r="F22">
        <v>0</v>
      </c>
      <c r="G22">
        <v>466.6</v>
      </c>
      <c r="H22">
        <v>146.30000000000001</v>
      </c>
      <c r="I22">
        <v>0</v>
      </c>
      <c r="L22">
        <v>0</v>
      </c>
      <c r="M22">
        <v>474</v>
      </c>
      <c r="N22">
        <v>0</v>
      </c>
      <c r="O22">
        <f>85.14+168.25+32.13+93.17+12.47+39.69+77.47</f>
        <v>508.32000000000005</v>
      </c>
    </row>
    <row r="23" spans="1:15" x14ac:dyDescent="0.4">
      <c r="A23">
        <v>993.1</v>
      </c>
      <c r="B23">
        <v>12367.325000000001</v>
      </c>
      <c r="C23">
        <v>0</v>
      </c>
      <c r="D23">
        <v>170.7</v>
      </c>
      <c r="E23">
        <v>0</v>
      </c>
      <c r="F23">
        <v>689</v>
      </c>
      <c r="G23">
        <v>579.4</v>
      </c>
      <c r="H23">
        <v>175</v>
      </c>
      <c r="I23">
        <v>0</v>
      </c>
      <c r="K23">
        <v>810.2</v>
      </c>
      <c r="L23">
        <v>0</v>
      </c>
      <c r="N23">
        <v>323.3</v>
      </c>
      <c r="O23">
        <f>317.7+112.61+211.33+283.36+235.98</f>
        <v>1160.98</v>
      </c>
    </row>
    <row r="24" spans="1:15" x14ac:dyDescent="0.4">
      <c r="A24">
        <v>1003.8</v>
      </c>
      <c r="B24">
        <v>12556.406000000001</v>
      </c>
      <c r="C24">
        <v>0</v>
      </c>
      <c r="D24">
        <v>0</v>
      </c>
      <c r="E24">
        <v>0</v>
      </c>
      <c r="F24">
        <v>250.9</v>
      </c>
      <c r="G24">
        <v>190.8</v>
      </c>
      <c r="H24">
        <v>296.60000000000002</v>
      </c>
      <c r="I24">
        <v>0</v>
      </c>
      <c r="L24">
        <v>0</v>
      </c>
      <c r="M24">
        <v>105.2</v>
      </c>
      <c r="N24">
        <v>57.6</v>
      </c>
      <c r="O24">
        <f>58+61.89+24.25+66.49+76.69</f>
        <v>287.32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25F2-094B-CD40-AEE8-3F6AD2DA3348}">
  <dimension ref="A1:D14"/>
  <sheetViews>
    <sheetView tabSelected="1" workbookViewId="0">
      <selection activeCell="B9" sqref="B9"/>
    </sheetView>
  </sheetViews>
  <sheetFormatPr defaultColWidth="10.6640625" defaultRowHeight="16" x14ac:dyDescent="0.4"/>
  <cols>
    <col min="1" max="2" width="13.6640625" bestFit="1" customWidth="1"/>
  </cols>
  <sheetData>
    <row r="1" spans="1:4" x14ac:dyDescent="0.4">
      <c r="A1" t="s">
        <v>3</v>
      </c>
      <c r="B1" t="s">
        <v>4</v>
      </c>
      <c r="C1" t="s">
        <v>5</v>
      </c>
      <c r="D1" t="s">
        <v>6</v>
      </c>
    </row>
    <row r="2" spans="1:4" x14ac:dyDescent="0.4">
      <c r="A2" t="s">
        <v>11</v>
      </c>
      <c r="B2" t="s">
        <v>12</v>
      </c>
      <c r="C2" t="s">
        <v>13</v>
      </c>
      <c r="D2" t="s">
        <v>14</v>
      </c>
    </row>
    <row r="3" spans="1:4" x14ac:dyDescent="0.4">
      <c r="A3" t="s">
        <v>16</v>
      </c>
      <c r="B3" t="s">
        <v>17</v>
      </c>
      <c r="C3" t="s">
        <v>18</v>
      </c>
    </row>
    <row r="4" spans="1:4" x14ac:dyDescent="0.4">
      <c r="A4" t="s">
        <v>30</v>
      </c>
      <c r="B4" t="s">
        <v>29</v>
      </c>
      <c r="C4" t="s">
        <v>21</v>
      </c>
    </row>
    <row r="5" spans="1:4" x14ac:dyDescent="0.4">
      <c r="A5" t="s">
        <v>0</v>
      </c>
      <c r="B5" t="s">
        <v>0</v>
      </c>
      <c r="C5" t="s">
        <v>13</v>
      </c>
      <c r="D5" t="s">
        <v>15</v>
      </c>
    </row>
    <row r="6" spans="1:4" x14ac:dyDescent="0.4">
      <c r="A6" t="s">
        <v>23</v>
      </c>
      <c r="B6" t="s">
        <v>24</v>
      </c>
      <c r="C6" t="s">
        <v>21</v>
      </c>
      <c r="D6" t="s">
        <v>25</v>
      </c>
    </row>
    <row r="7" spans="1:4" x14ac:dyDescent="0.4">
      <c r="A7" t="s">
        <v>19</v>
      </c>
      <c r="B7" t="s">
        <v>1</v>
      </c>
      <c r="C7" t="s">
        <v>8</v>
      </c>
      <c r="D7" t="s">
        <v>20</v>
      </c>
    </row>
    <row r="8" spans="1:4" x14ac:dyDescent="0.4">
      <c r="A8" t="s">
        <v>32</v>
      </c>
      <c r="B8" t="s">
        <v>31</v>
      </c>
      <c r="C8" t="s">
        <v>18</v>
      </c>
    </row>
    <row r="9" spans="1:4" x14ac:dyDescent="0.4">
      <c r="A9" t="s">
        <v>34</v>
      </c>
      <c r="B9" t="s">
        <v>42</v>
      </c>
      <c r="C9" t="s">
        <v>39</v>
      </c>
    </row>
    <row r="10" spans="1:4" x14ac:dyDescent="0.4">
      <c r="A10" t="s">
        <v>35</v>
      </c>
      <c r="B10" t="s">
        <v>7</v>
      </c>
      <c r="C10" t="s">
        <v>8</v>
      </c>
    </row>
    <row r="11" spans="1:4" x14ac:dyDescent="0.4">
      <c r="A11" t="s">
        <v>37</v>
      </c>
      <c r="B11" t="s">
        <v>36</v>
      </c>
      <c r="C11" t="s">
        <v>21</v>
      </c>
      <c r="D11" t="s">
        <v>22</v>
      </c>
    </row>
    <row r="12" spans="1:4" x14ac:dyDescent="0.4">
      <c r="A12" t="s">
        <v>26</v>
      </c>
      <c r="B12" t="s">
        <v>27</v>
      </c>
      <c r="C12" t="s">
        <v>21</v>
      </c>
      <c r="D12" t="s">
        <v>28</v>
      </c>
    </row>
    <row r="13" spans="1:4" x14ac:dyDescent="0.4">
      <c r="A13" t="s">
        <v>9</v>
      </c>
      <c r="B13" t="s">
        <v>10</v>
      </c>
      <c r="C13" t="s">
        <v>39</v>
      </c>
    </row>
    <row r="14" spans="1:4" x14ac:dyDescent="0.4">
      <c r="A14" t="s">
        <v>2</v>
      </c>
      <c r="B14" t="s">
        <v>38</v>
      </c>
      <c r="C14" t="s">
        <v>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pig_area</vt:lpstr>
      <vt:lpstr>pig_prod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Zahajská, Petra (GIUB)</dc:creator>
  <cp:lastModifiedBy>Antonia Klatt</cp:lastModifiedBy>
  <dcterms:created xsi:type="dcterms:W3CDTF">2025-08-12T08:07:41Z</dcterms:created>
  <dcterms:modified xsi:type="dcterms:W3CDTF">2026-03-25T19:47:39Z</dcterms:modified>
</cp:coreProperties>
</file>